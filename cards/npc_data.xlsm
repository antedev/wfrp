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te\Documents\github\wfrp\cards\"/>
    </mc:Choice>
  </mc:AlternateContent>
  <xr:revisionPtr revIDLastSave="0" documentId="13_ncr:1_{D0ACF99D-2F10-40D7-8136-F1E341BFA3DE}" xr6:coauthVersionLast="47" xr6:coauthVersionMax="47" xr10:uidLastSave="{00000000-0000-0000-0000-000000000000}"/>
  <bookViews>
    <workbookView xWindow="-120" yWindow="-120" windowWidth="29040" windowHeight="15720" xr2:uid="{39A146EB-23A3-4154-A0F8-A1C1F7E7F457}"/>
  </bookViews>
  <sheets>
    <sheet name="cards_data" sheetId="1" r:id="rId1"/>
    <sheet name="images" sheetId="3" r:id="rId2"/>
    <sheet name="Sheet1" sheetId="2" r:id="rId3"/>
  </sheets>
  <definedNames>
    <definedName name="ExternalData_1" localSheetId="1" hidden="1">images!$A$1:$F$58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 a="1"/>
  <c r="G6" i="1" s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F3" i="1" a="1"/>
  <c r="F3" i="1" s="1"/>
  <c r="B2" i="1"/>
  <c r="B3" i="1"/>
  <c r="B5" i="1"/>
  <c r="B12" i="1"/>
  <c r="B10" i="1"/>
  <c r="B14" i="1"/>
  <c r="B15" i="1"/>
  <c r="B13" i="1"/>
  <c r="B11" i="1"/>
  <c r="B8" i="1"/>
  <c r="B4" i="1"/>
  <c r="B36" i="1"/>
  <c r="B31" i="1"/>
  <c r="B25" i="1"/>
  <c r="B22" i="1"/>
  <c r="B29" i="1"/>
  <c r="B21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9" i="1"/>
  <c r="B20" i="1"/>
  <c r="B17" i="1"/>
  <c r="B9" i="1"/>
  <c r="B6" i="1"/>
  <c r="B18" i="1"/>
  <c r="B33" i="1"/>
  <c r="B23" i="1"/>
  <c r="B28" i="1"/>
  <c r="B40" i="1"/>
  <c r="B30" i="1"/>
  <c r="B26" i="1"/>
  <c r="B41" i="1"/>
  <c r="B37" i="1"/>
  <c r="B38" i="1"/>
  <c r="B39" i="1"/>
  <c r="B35" i="1"/>
  <c r="B32" i="1"/>
  <c r="B24" i="1"/>
  <c r="B7" i="1"/>
  <c r="B34" i="1"/>
  <c r="B27" i="1"/>
  <c r="B42" i="1"/>
  <c r="B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054F77-F048-4822-83E9-82B50C26955C}" keepAlive="1" name="Query - images" description="Connection to the 'images' query in the workbook." type="5" refreshedVersion="8" background="1" saveData="1">
    <dbPr connection="Provider=Microsoft.Mashup.OleDb.1;Data Source=$Workbook$;Location=images;Extended Properties=&quot;&quot;" command="SELECT * FROM [imag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<sst xmlns="http://schemas.openxmlformats.org/spreadsheetml/2006/main" count="288" uniqueCount="137">
  <si>
    <t>name</t>
  </si>
  <si>
    <t>image_filename</t>
  </si>
  <si>
    <t>comment</t>
  </si>
  <si>
    <t>henchmen</t>
  </si>
  <si>
    <t>Lothar Hagen</t>
  </si>
  <si>
    <t>Elena "Lena" Kurtz</t>
  </si>
  <si>
    <t>General Jendrick von Dabernick</t>
  </si>
  <si>
    <t>Gudie to Ubersreik</t>
  </si>
  <si>
    <t>Emaunelle Nacht</t>
  </si>
  <si>
    <t>Francois Beauharnais</t>
  </si>
  <si>
    <t>Maria-Ulrike von Liebwitz of Ambosstein</t>
  </si>
  <si>
    <t>Rough nights and hard days</t>
  </si>
  <si>
    <t>Bruno Franke</t>
  </si>
  <si>
    <t>Gustaf Rechtshandler</t>
  </si>
  <si>
    <t>Thomas Prahmhandler</t>
  </si>
  <si>
    <t>Johann Schmidt</t>
  </si>
  <si>
    <t>Frau Schmidt</t>
  </si>
  <si>
    <t>Ursula Kopfsgeld</t>
  </si>
  <si>
    <t>Priest of Morr 1</t>
  </si>
  <si>
    <t>Gunni - Smuggler</t>
  </si>
  <si>
    <t>Priest of Morr 2</t>
  </si>
  <si>
    <t>Bart - Smuggler</t>
  </si>
  <si>
    <t>Priest of Morr 3</t>
  </si>
  <si>
    <t>Hans-Frederick - Smuggler</t>
  </si>
  <si>
    <t>Mho</t>
  </si>
  <si>
    <t>Larz</t>
  </si>
  <si>
    <t>Curls</t>
  </si>
  <si>
    <t>Ernst Maler</t>
  </si>
  <si>
    <t>Glimbrin Oddsocks</t>
  </si>
  <si>
    <t>Haldred "Hal" Sturmsen</t>
  </si>
  <si>
    <t>Mercinellin "Seedling" Thorncobble XIII</t>
  </si>
  <si>
    <t>source</t>
  </si>
  <si>
    <t>Real name: FRIEDRICH VON PFEIFRAUCHER</t>
  </si>
  <si>
    <t>Real name: HANNA LASTKAHN</t>
  </si>
  <si>
    <t>Wolfgang</t>
  </si>
  <si>
    <t>Serving at the Inn</t>
  </si>
  <si>
    <t>Thug</t>
  </si>
  <si>
    <t>Rudy Schlau</t>
  </si>
  <si>
    <t>guildmaster of the worshiipful guild of cutlers</t>
  </si>
  <si>
    <t>Christoph Engel</t>
  </si>
  <si>
    <t xml:space="preserve">Grey Guardian </t>
  </si>
  <si>
    <t>Dordean Mournflair</t>
  </si>
  <si>
    <t>Master smith</t>
  </si>
  <si>
    <t>Mattheus Hüpfen,</t>
  </si>
  <si>
    <t>Witch hunter</t>
  </si>
  <si>
    <t>Gino Satrioli</t>
  </si>
  <si>
    <t xml:space="preserve">Shop owner </t>
  </si>
  <si>
    <t>Mercy Lowhaven</t>
  </si>
  <si>
    <t>halfling Crime boss</t>
  </si>
  <si>
    <t>Petronilla Merkle</t>
  </si>
  <si>
    <t>Guildmaster metals guild</t>
  </si>
  <si>
    <t>Melina Spirren-Hirsch</t>
  </si>
  <si>
    <t>Lawyer</t>
  </si>
  <si>
    <t>Ludwig Schlüsselfert</t>
  </si>
  <si>
    <t>Guildmaster locksmitsh guild</t>
  </si>
  <si>
    <t>Ernst Zimmerman</t>
  </si>
  <si>
    <t>Guildmaster carpenters guild</t>
  </si>
  <si>
    <t>Cordelia Wesselingh</t>
  </si>
  <si>
    <t xml:space="preserve">Master apotechary </t>
  </si>
  <si>
    <t>Ol'bess</t>
  </si>
  <si>
    <t>Smith</t>
  </si>
  <si>
    <t>Josef Ausfwiegler</t>
  </si>
  <si>
    <t>Helge</t>
  </si>
  <si>
    <t>Allrella</t>
  </si>
  <si>
    <t>Elphoise</t>
  </si>
  <si>
    <t>Elphoise - Cultist as scholar</t>
  </si>
  <si>
    <t>Allrella - Cultist as scholar</t>
  </si>
  <si>
    <t>Helge - Cultist as scholar</t>
  </si>
  <si>
    <t>Ludwig Meister</t>
  </si>
  <si>
    <t>Jannik Fanger</t>
  </si>
  <si>
    <t>Bait and Witch</t>
  </si>
  <si>
    <t>Name</t>
  </si>
  <si>
    <t>Extension</t>
  </si>
  <si>
    <t>Date accessed</t>
  </si>
  <si>
    <t>Date modified</t>
  </si>
  <si>
    <t>Date created</t>
  </si>
  <si>
    <t>Folder Path</t>
  </si>
  <si>
    <t>Alex.png</t>
  </si>
  <si>
    <t>.png</t>
  </si>
  <si>
    <t>C:\Users\ante\Documents\github\wfrp\cards\images\</t>
  </si>
  <si>
    <t>bruno-franke.png</t>
  </si>
  <si>
    <t>christoph-engel.png</t>
  </si>
  <si>
    <t>curls.png</t>
  </si>
  <si>
    <t>DALL·E 2024-08-30 06.30.38 - A-hand-drawn-painterly-style-portrait-of-a-young-s .png</t>
  </si>
  <si>
    <t>DALL·E 2024-08-30 06.31.26 - A-hand-drawn-painterly-style-portrait-of-a-young-s .png</t>
  </si>
  <si>
    <t>DALL·E 2024-08-31 03.02.07 - A-hand-drawn-painterly-depiction-of-Gundeik-a-drun .png</t>
  </si>
  <si>
    <t>DALL·E 2024-08-31 06.24.05 - A-hand-drawn-painterly-depiction-of-a-regular-boat .png</t>
  </si>
  <si>
    <t>DALL·E 2024-08-31 06.24.34 - A-hand-drawn-painterly-depiction-of-a-regular-boat .png</t>
  </si>
  <si>
    <t>DALL·E 2024-08-31 10.57.49 - A-hand-drawn-painterly-depiction-of-a-large-imposi .png</t>
  </si>
  <si>
    <t>DALL·E 2024-08-31 11.01.31 - A-hand-drawn-painterly-depiction-of-Mattheus-Hiipf .png</t>
  </si>
  <si>
    <t>DALL·E 2024-08-31 11.15.49 - A-hand-drawn-painterly-depiction-of-Ivar-Broadthum .png</t>
  </si>
  <si>
    <t>DALL·E 2024-08-31 11.17.36 - A-hand-drawn-painterly-depiction-of-Borgun-Foambea .png</t>
  </si>
  <si>
    <t>DALL·E 2024-08-31 11.18.04 - A-hand-drawn-painterly-depiction-of-Hargan-the-bro .png</t>
  </si>
  <si>
    <t>DALL·E 2024-08-31 11.18.22 - A-hand-drawn-painterly-depiction-of-Dwargun-the-br .png</t>
  </si>
  <si>
    <t>DALL·E 2024-08-31 11.19.05 - A-hand-drawn-painterly-depiction-of-Glavic-Boarhan .png</t>
  </si>
  <si>
    <t>DALL·E 2024-08-31 12.05.58 - A-hand-drawn-painterly-style-portrait-of-Guido-Fal .png</t>
  </si>
  <si>
    <t>dordean-mounflair.png</t>
  </si>
  <si>
    <t>elena-kurtz.png</t>
  </si>
  <si>
    <t>emanuelle-nacht.png</t>
  </si>
  <si>
    <t>ernst-maller.png</t>
  </si>
  <si>
    <t>fagor.png</t>
  </si>
  <si>
    <t>francois-beauharnais.png</t>
  </si>
  <si>
    <t>francois-benotte.png</t>
  </si>
  <si>
    <t>frau-schmidt.png</t>
  </si>
  <si>
    <t>general-jendrick-von-dabernick.png</t>
  </si>
  <si>
    <t>generic-merchant.png</t>
  </si>
  <si>
    <t>gjur-farlson.png</t>
  </si>
  <si>
    <t>guard-1.png</t>
  </si>
  <si>
    <t>guard-2.png</t>
  </si>
  <si>
    <t>guard-3.png</t>
  </si>
  <si>
    <t>gustaf-rechtshandler.png</t>
  </si>
  <si>
    <t>haldred-sturmsen.png</t>
  </si>
  <si>
    <t>hans-jinkerst.png</t>
  </si>
  <si>
    <t>happy-innkepper.png</t>
  </si>
  <si>
    <t>jannik-fanger.png</t>
  </si>
  <si>
    <t>johann-schmidt.png</t>
  </si>
  <si>
    <t>karlous-dichens.png</t>
  </si>
  <si>
    <t>larz.png</t>
  </si>
  <si>
    <t>lothar-hagen.png</t>
  </si>
  <si>
    <t>ludwig-meister.png</t>
  </si>
  <si>
    <t>maria-ulrike-von-liebwitz-of-ambosstein.png</t>
  </si>
  <si>
    <t>mho.png</t>
  </si>
  <si>
    <t>otto.png</t>
  </si>
  <si>
    <t>priest-of-morr-1.png</t>
  </si>
  <si>
    <t>priest-of-morr-2.png</t>
  </si>
  <si>
    <t>priest-of-morr-3.png</t>
  </si>
  <si>
    <t>rudy-schlau.png</t>
  </si>
  <si>
    <t>sad-innkepper.png</t>
  </si>
  <si>
    <t>servant-1.png</t>
  </si>
  <si>
    <t>servant-2.png</t>
  </si>
  <si>
    <t>servant-3.png</t>
  </si>
  <si>
    <t>sourly-innkepper.png</t>
  </si>
  <si>
    <t>thomas-prahmhandler.png</t>
  </si>
  <si>
    <t>ursula-kopfgeld.png</t>
  </si>
  <si>
    <t>wendelin-von-jugenfreund.png</t>
  </si>
  <si>
    <t>grondi-surehammer.png</t>
  </si>
  <si>
    <t>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</si>
</sst>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</font>
    <font>
      <sz val="12"/>
      <color theme="1"/>
      <name val="Aptos Narrow"/>
      <family val="2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</font>
    <font>
      <b/>
      <sz val="13"/>
      <color theme="3"/>
      <name val="Aptos Narrow"/>
      <family val="2"/>
    </font>
    <font>
      <b/>
      <sz val="11"/>
      <color theme="3"/>
      <name val="Aptos Narrow"/>
      <family val="2"/>
    </font>
    <font>
      <sz val="12"/>
      <color rgb="FF006100"/>
      <name val="Aptos Narrow"/>
      <family val="2"/>
    </font>
    <font>
      <sz val="12"/>
      <color rgb="FF9C0006"/>
      <name val="Aptos Narrow"/>
      <family val="2"/>
    </font>
    <font>
      <sz val="12"/>
      <color rgb="FF9C5700"/>
      <name val="Aptos Narrow"/>
      <family val="2"/>
    </font>
    <font>
      <sz val="12"/>
      <color rgb="FF3F3F76"/>
      <name val="Aptos Narrow"/>
      <family val="2"/>
    </font>
    <font>
      <b/>
      <sz val="12"/>
      <color rgb="FF3F3F3F"/>
      <name val="Aptos Narrow"/>
      <family val="2"/>
    </font>
    <font>
      <b/>
      <sz val="12"/>
      <color rgb="FFFA7D00"/>
      <name val="Aptos Narrow"/>
      <family val="2"/>
    </font>
    <font>
      <sz val="12"/>
      <color rgb="FFFA7D00"/>
      <name val="Aptos Narrow"/>
      <family val="2"/>
    </font>
    <font>
      <b/>
      <sz val="12"/>
      <color theme="0"/>
      <name val="Aptos Narrow"/>
      <family val="2"/>
    </font>
    <font>
      <sz val="12"/>
      <color rgb="FFFF0000"/>
      <name val="Aptos Narrow"/>
      <family val="2"/>
    </font>
    <font>
      <i/>
      <sz val="12"/>
      <color rgb="FF7F7F7F"/>
      <name val="Aptos Narrow"/>
      <family val="2"/>
    </font>
    <font>
      <b/>
      <sz val="12"/>
      <color theme="1"/>
      <name val="Aptos Narrow"/>
      <family val="2"/>
    </font>
    <font>
      <sz val="12"/>
      <color theme="0"/>
      <name val="Aptos Narrow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NumberFormat="1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numFmt numFmtId="0" formatCode="General"/>
    </dxf>
    <dxf>
      <numFmt numFmtId="27" formatCode="yyyy/mm/dd\ hh:mm"/>
    </dxf>
    <dxf>
      <numFmt numFmtId="27" formatCode="yyyy/mm/dd\ hh:mm"/>
    </dxf>
    <dxf>
      <numFmt numFmtId="27" formatCode="yyyy/mm/dd\ hh:mm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9B27E58-AEBB-4AB7-B234-B2970E83AF71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Extension" tableColumnId="2"/>
      <queryTableField id="3" name="Date accessed" tableColumnId="3"/>
      <queryTableField id="4" name="Date modified" tableColumnId="4"/>
      <queryTableField id="5" name="Date created" tableColumnId="5"/>
      <queryTableField id="6" name="Folder Path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3924AD-A321-4C4C-9510-261AE2AEEBCE}" name="images" displayName="images" ref="A1:F58" tableType="queryTable" totalsRowShown="0">
  <autoFilter ref="A1:F58" xr:uid="{213924AD-A321-4C4C-9510-261AE2AEEBCE}"/>
  <tableColumns count="6">
    <tableColumn id="1" xr3:uid="{3B7C306E-53BC-4EBE-BF40-0332558EF4F9}" uniqueName="1" name="Name" queryTableFieldId="1" dataDxfId="5"/>
    <tableColumn id="2" xr3:uid="{34C138D1-657E-4E01-A793-730F69A11527}" uniqueName="2" name="Extension" queryTableFieldId="2" dataDxfId="4"/>
    <tableColumn id="3" xr3:uid="{35C35EE9-A256-4B26-945E-FF2AA8269580}" uniqueName="3" name="Date accessed" queryTableFieldId="3" dataDxfId="3"/>
    <tableColumn id="4" xr3:uid="{6CF8F38E-0B90-44BB-9217-12446E6A0504}" uniqueName="4" name="Date modified" queryTableFieldId="4" dataDxfId="2"/>
    <tableColumn id="5" xr3:uid="{8562F379-57D7-4ACD-B45C-776B3FA268B4}" uniqueName="5" name="Date created" queryTableFieldId="5" dataDxfId="1"/>
    <tableColumn id="6" xr3:uid="{28593191-A7E7-472E-BA8A-D7D0CC7EDC50}" uniqueName="6" name="Folder Path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2C95E-A7AE-440E-B9D8-C841E4015BF7}">
  <sheetPr codeName="Sheet1"/>
  <dimension ref="A1:G99"/>
  <sheetViews>
    <sheetView tabSelected="1" workbookViewId="0">
      <selection activeCell="G8" sqref="G8"/>
    </sheetView>
  </sheetViews>
  <sheetFormatPr defaultRowHeight="15.75" x14ac:dyDescent="0.25"/>
  <cols>
    <col min="1" max="1" width="33.75" bestFit="1" customWidth="1"/>
    <col min="2" max="2" width="37.5" bestFit="1" customWidth="1"/>
    <col min="3" max="3" width="4.375" customWidth="1"/>
    <col min="4" max="4" width="27.5" bestFit="1" customWidth="1"/>
    <col min="5" max="5" width="21" customWidth="1"/>
  </cols>
  <sheetData>
    <row r="1" spans="1:7" x14ac:dyDescent="0.25">
      <c r="A1" t="s">
        <v>0</v>
      </c>
      <c r="B1" t="s">
        <v>1</v>
      </c>
      <c r="C1" t="s">
        <v>136</v>
      </c>
      <c r="D1" t="s">
        <v>2</v>
      </c>
      <c r="E1" t="s">
        <v>31</v>
      </c>
    </row>
    <row r="2" spans="1:7" x14ac:dyDescent="0.25">
      <c r="A2" t="s">
        <v>69</v>
      </c>
      <c r="B2" t="str">
        <f t="shared" ref="B2:B42" si="0">IF(ISBLANK(A2),"",LOWER(SUBSTITUTE(SUBSTITUTE(A2, " ", "-"), """", "")) &amp; ".png")</f>
        <v>jannik-fanger.png</v>
      </c>
      <c r="C2" t="str">
        <f>IF(COUNT(images!A:A,B2)&gt;0,"X","N")</f>
        <v>N</v>
      </c>
      <c r="E2" t="s">
        <v>70</v>
      </c>
    </row>
    <row r="3" spans="1:7" x14ac:dyDescent="0.25">
      <c r="A3" t="s">
        <v>39</v>
      </c>
      <c r="B3" t="str">
        <f t="shared" si="0"/>
        <v>christoph-engel.png</v>
      </c>
      <c r="C3" t="str">
        <f>IF(COUNT(images!A:A,B3)&gt;0,"X","N")</f>
        <v>N</v>
      </c>
      <c r="D3" t="s">
        <v>40</v>
      </c>
      <c r="E3" t="s">
        <v>7</v>
      </c>
      <c r="F3" t="e" cm="1">
        <f t="array" aca="1" ref="F3" ca="1">FileExists("C:\Users\ante\Documents\github\wfrp\cards\images\" &amp; A2)</f>
        <v>#NAME?</v>
      </c>
    </row>
    <row r="4" spans="1:7" x14ac:dyDescent="0.25">
      <c r="A4" t="s">
        <v>57</v>
      </c>
      <c r="B4" t="str">
        <f t="shared" si="0"/>
        <v>cordelia-wesselingh.png</v>
      </c>
      <c r="C4" t="str">
        <f>IF(COUNT(images!A:A,B4)&gt;0,"X","N")</f>
        <v>N</v>
      </c>
      <c r="D4" t="s">
        <v>58</v>
      </c>
      <c r="E4" t="s">
        <v>7</v>
      </c>
    </row>
    <row r="5" spans="1:7" x14ac:dyDescent="0.25">
      <c r="A5" t="s">
        <v>41</v>
      </c>
      <c r="B5" t="str">
        <f t="shared" si="0"/>
        <v>dordean-mournflair.png</v>
      </c>
      <c r="C5" t="str">
        <f>IF(COUNT(images!A:A,B5)&gt;0,"X","N")</f>
        <v>N</v>
      </c>
      <c r="D5" t="s">
        <v>42</v>
      </c>
      <c r="E5" t="s">
        <v>7</v>
      </c>
    </row>
    <row r="6" spans="1:7" x14ac:dyDescent="0.25">
      <c r="A6" t="s">
        <v>8</v>
      </c>
      <c r="B6" t="str">
        <f t="shared" si="0"/>
        <v>emaunelle-nacht.png</v>
      </c>
      <c r="C6" t="str">
        <f>IF(COUNT(images!A:A,B6)&gt;0,"X","N")</f>
        <v>N</v>
      </c>
      <c r="E6" t="s">
        <v>7</v>
      </c>
      <c r="G6" cm="1">
        <f t="array" ref="G6">COUNT(B:B,erns-maler.png)</f>
        <v>0</v>
      </c>
    </row>
    <row r="7" spans="1:7" x14ac:dyDescent="0.25">
      <c r="A7" t="s">
        <v>27</v>
      </c>
      <c r="B7" t="str">
        <f t="shared" si="0"/>
        <v>ernst-maler.png</v>
      </c>
      <c r="C7" t="str">
        <f>IF(COUNT(images!A:A,B7)&gt;0,"X","N")</f>
        <v>N</v>
      </c>
      <c r="E7" t="s">
        <v>7</v>
      </c>
    </row>
    <row r="8" spans="1:7" x14ac:dyDescent="0.25">
      <c r="A8" t="s">
        <v>55</v>
      </c>
      <c r="B8" t="str">
        <f t="shared" si="0"/>
        <v>ernst-zimmerman.png</v>
      </c>
      <c r="C8" t="str">
        <f>IF(COUNT(images!A:A,B8)&gt;0,"X","N")</f>
        <v>N</v>
      </c>
      <c r="D8" t="s">
        <v>56</v>
      </c>
      <c r="E8" t="s">
        <v>7</v>
      </c>
    </row>
    <row r="9" spans="1:7" x14ac:dyDescent="0.25">
      <c r="A9" t="s">
        <v>6</v>
      </c>
      <c r="B9" t="str">
        <f t="shared" si="0"/>
        <v>general-jendrick-von-dabernick.png</v>
      </c>
      <c r="C9" t="str">
        <f>IF(COUNT(images!A:A,B9)&gt;0,"X","N")</f>
        <v>N</v>
      </c>
      <c r="E9" t="s">
        <v>7</v>
      </c>
    </row>
    <row r="10" spans="1:7" x14ac:dyDescent="0.25">
      <c r="A10" t="s">
        <v>45</v>
      </c>
      <c r="B10" t="str">
        <f t="shared" si="0"/>
        <v>gino-satrioli.png</v>
      </c>
      <c r="C10" t="str">
        <f>IF(COUNT(images!A:A,B10)&gt;0,"X","N")</f>
        <v>N</v>
      </c>
      <c r="D10" t="s">
        <v>46</v>
      </c>
      <c r="E10" t="s">
        <v>7</v>
      </c>
    </row>
    <row r="11" spans="1:7" x14ac:dyDescent="0.25">
      <c r="A11" t="s">
        <v>53</v>
      </c>
      <c r="B11" t="str">
        <f t="shared" si="0"/>
        <v>ludwig-schlüsselfert.png</v>
      </c>
      <c r="C11" t="str">
        <f>IF(COUNT(images!A:A,B11)&gt;0,"X","N")</f>
        <v>N</v>
      </c>
      <c r="D11" t="s">
        <v>54</v>
      </c>
      <c r="E11" t="s">
        <v>7</v>
      </c>
    </row>
    <row r="12" spans="1:7" x14ac:dyDescent="0.25">
      <c r="A12" t="s">
        <v>43</v>
      </c>
      <c r="B12" t="str">
        <f t="shared" si="0"/>
        <v>mattheus-hüpfen,.png</v>
      </c>
      <c r="C12" t="str">
        <f>IF(COUNT(images!A:A,B12)&gt;0,"X","N")</f>
        <v>N</v>
      </c>
      <c r="D12" t="s">
        <v>44</v>
      </c>
      <c r="E12" t="s">
        <v>7</v>
      </c>
    </row>
    <row r="13" spans="1:7" x14ac:dyDescent="0.25">
      <c r="A13" t="s">
        <v>51</v>
      </c>
      <c r="B13" t="str">
        <f t="shared" si="0"/>
        <v>melina-spirren-hirsch.png</v>
      </c>
      <c r="C13" t="str">
        <f>IF(COUNT(images!A:A,B13)&gt;0,"X","N")</f>
        <v>N</v>
      </c>
      <c r="D13" t="s">
        <v>52</v>
      </c>
      <c r="E13" t="s">
        <v>7</v>
      </c>
    </row>
    <row r="14" spans="1:7" x14ac:dyDescent="0.25">
      <c r="A14" t="s">
        <v>47</v>
      </c>
      <c r="B14" t="str">
        <f t="shared" si="0"/>
        <v>mercy-lowhaven.png</v>
      </c>
      <c r="C14" t="str">
        <f>IF(COUNT(images!A:A,B14)&gt;0,"X","N")</f>
        <v>N</v>
      </c>
      <c r="D14" t="s">
        <v>48</v>
      </c>
      <c r="E14" t="s">
        <v>7</v>
      </c>
    </row>
    <row r="15" spans="1:7" x14ac:dyDescent="0.25">
      <c r="A15" t="s">
        <v>49</v>
      </c>
      <c r="B15" t="str">
        <f t="shared" si="0"/>
        <v>petronilla-merkle.png</v>
      </c>
      <c r="C15" t="str">
        <f>IF(COUNT(images!A:A,B15)&gt;0,"X","N")</f>
        <v>N</v>
      </c>
      <c r="D15" t="s">
        <v>50</v>
      </c>
      <c r="E15" t="s">
        <v>7</v>
      </c>
    </row>
    <row r="16" spans="1:7" x14ac:dyDescent="0.25">
      <c r="A16" t="s">
        <v>37</v>
      </c>
      <c r="B16" t="str">
        <f t="shared" si="0"/>
        <v>rudy-schlau.png</v>
      </c>
      <c r="C16" t="str">
        <f>IF(COUNT(images!A:A,B16)&gt;0,"X","N")</f>
        <v>N</v>
      </c>
      <c r="D16" t="s">
        <v>38</v>
      </c>
      <c r="E16" t="s">
        <v>7</v>
      </c>
    </row>
    <row r="17" spans="1:5" x14ac:dyDescent="0.25">
      <c r="A17" t="s">
        <v>5</v>
      </c>
      <c r="B17" t="str">
        <f t="shared" si="0"/>
        <v>elena-lena-kurtz.png</v>
      </c>
      <c r="C17" t="str">
        <f>IF(COUNT(images!A:A,B17)&gt;0,"X","N")</f>
        <v>N</v>
      </c>
      <c r="E17" t="s">
        <v>3</v>
      </c>
    </row>
    <row r="18" spans="1:5" x14ac:dyDescent="0.25">
      <c r="A18" t="s">
        <v>9</v>
      </c>
      <c r="B18" t="str">
        <f t="shared" si="0"/>
        <v>francois-beauharnais.png</v>
      </c>
      <c r="C18" t="str">
        <f>IF(COUNT(images!A:A,B18)&gt;0,"X","N")</f>
        <v>N</v>
      </c>
      <c r="E18" t="s">
        <v>3</v>
      </c>
    </row>
    <row r="19" spans="1:5" x14ac:dyDescent="0.25">
      <c r="A19" t="s">
        <v>29</v>
      </c>
      <c r="B19" t="str">
        <f t="shared" si="0"/>
        <v>haldred-hal-sturmsen.png</v>
      </c>
      <c r="C19" t="str">
        <f>IF(COUNT(images!A:A,B19)&gt;0,"X","N")</f>
        <v>N</v>
      </c>
      <c r="E19" t="s">
        <v>3</v>
      </c>
    </row>
    <row r="20" spans="1:5" x14ac:dyDescent="0.25">
      <c r="A20" t="s">
        <v>4</v>
      </c>
      <c r="B20" t="str">
        <f t="shared" si="0"/>
        <v>lothar-hagen.png</v>
      </c>
      <c r="C20" t="str">
        <f>IF(COUNT(images!A:A,B20)&gt;0,"X","N")</f>
        <v>N</v>
      </c>
      <c r="E20" t="s">
        <v>3</v>
      </c>
    </row>
    <row r="21" spans="1:5" x14ac:dyDescent="0.25">
      <c r="A21" t="s">
        <v>68</v>
      </c>
      <c r="B21" t="str">
        <f t="shared" si="0"/>
        <v>ludwig-meister.png</v>
      </c>
      <c r="C21" t="str">
        <f>IF(COUNT(images!A:A,B21)&gt;0,"X","N")</f>
        <v>N</v>
      </c>
      <c r="E21" t="s">
        <v>3</v>
      </c>
    </row>
    <row r="22" spans="1:5" x14ac:dyDescent="0.25">
      <c r="A22" t="s">
        <v>63</v>
      </c>
      <c r="B22" t="str">
        <f t="shared" si="0"/>
        <v>allrella.png</v>
      </c>
      <c r="C22" t="str">
        <f>IF(COUNT(images!A:A,B22)&gt;0,"X","N")</f>
        <v>N</v>
      </c>
      <c r="D22" t="s">
        <v>66</v>
      </c>
      <c r="E22" t="s">
        <v>11</v>
      </c>
    </row>
    <row r="23" spans="1:5" x14ac:dyDescent="0.25">
      <c r="A23" t="s">
        <v>12</v>
      </c>
      <c r="B23" t="str">
        <f t="shared" si="0"/>
        <v>bruno-franke.png</v>
      </c>
      <c r="C23" t="str">
        <f>IF(COUNT(images!A:A,B23)&gt;0,"X","N")</f>
        <v>N</v>
      </c>
      <c r="E23" t="s">
        <v>11</v>
      </c>
    </row>
    <row r="24" spans="1:5" x14ac:dyDescent="0.25">
      <c r="A24" t="s">
        <v>26</v>
      </c>
      <c r="B24" t="str">
        <f t="shared" si="0"/>
        <v>curls.png</v>
      </c>
      <c r="C24" t="str">
        <f>IF(COUNT(images!A:A,B24)&gt;0,"X","N")</f>
        <v>N</v>
      </c>
      <c r="D24" t="s">
        <v>36</v>
      </c>
      <c r="E24" t="s">
        <v>11</v>
      </c>
    </row>
    <row r="25" spans="1:5" x14ac:dyDescent="0.25">
      <c r="A25" t="s">
        <v>64</v>
      </c>
      <c r="B25" t="str">
        <f t="shared" si="0"/>
        <v>elphoise.png</v>
      </c>
      <c r="C25" t="str">
        <f>IF(COUNT(images!A:A,B25)&gt;0,"X","N")</f>
        <v>N</v>
      </c>
      <c r="D25" t="s">
        <v>65</v>
      </c>
      <c r="E25" t="s">
        <v>11</v>
      </c>
    </row>
    <row r="26" spans="1:5" x14ac:dyDescent="0.25">
      <c r="A26" t="s">
        <v>16</v>
      </c>
      <c r="B26" t="str">
        <f t="shared" si="0"/>
        <v>frau-schmidt.png</v>
      </c>
      <c r="C26" t="str">
        <f>IF(COUNT(images!A:A,B26)&gt;0,"X","N")</f>
        <v>N</v>
      </c>
      <c r="D26" t="s">
        <v>33</v>
      </c>
      <c r="E26" t="s">
        <v>11</v>
      </c>
    </row>
    <row r="27" spans="1:5" x14ac:dyDescent="0.25">
      <c r="A27" t="s">
        <v>28</v>
      </c>
      <c r="B27" t="str">
        <f t="shared" si="0"/>
        <v>glimbrin-oddsocks.png</v>
      </c>
      <c r="C27" t="str">
        <f>IF(COUNT(images!A:A,B27)&gt;0,"X","N")</f>
        <v>N</v>
      </c>
      <c r="E27" t="s">
        <v>11</v>
      </c>
    </row>
    <row r="28" spans="1:5" x14ac:dyDescent="0.25">
      <c r="A28" t="s">
        <v>13</v>
      </c>
      <c r="B28" t="str">
        <f t="shared" si="0"/>
        <v>gustaf-rechtshandler.png</v>
      </c>
      <c r="C28" t="str">
        <f>IF(COUNT(images!A:A,B28)&gt;0,"X","N")</f>
        <v>N</v>
      </c>
      <c r="E28" t="s">
        <v>11</v>
      </c>
    </row>
    <row r="29" spans="1:5" x14ac:dyDescent="0.25">
      <c r="A29" t="s">
        <v>62</v>
      </c>
      <c r="B29" t="str">
        <f t="shared" si="0"/>
        <v>helge.png</v>
      </c>
      <c r="C29" t="str">
        <f>IF(COUNT(images!A:A,B29)&gt;0,"X","N")</f>
        <v>N</v>
      </c>
      <c r="D29" t="s">
        <v>67</v>
      </c>
      <c r="E29" t="s">
        <v>11</v>
      </c>
    </row>
    <row r="30" spans="1:5" x14ac:dyDescent="0.25">
      <c r="A30" t="s">
        <v>15</v>
      </c>
      <c r="B30" t="str">
        <f t="shared" si="0"/>
        <v>johann-schmidt.png</v>
      </c>
      <c r="C30" t="str">
        <f>IF(COUNT(images!A:A,B30)&gt;0,"X","N")</f>
        <v>N</v>
      </c>
      <c r="D30" t="s">
        <v>32</v>
      </c>
      <c r="E30" t="s">
        <v>11</v>
      </c>
    </row>
    <row r="31" spans="1:5" x14ac:dyDescent="0.25">
      <c r="A31" t="s">
        <v>61</v>
      </c>
      <c r="B31" t="str">
        <f t="shared" si="0"/>
        <v>josef-ausfwiegler.png</v>
      </c>
      <c r="C31" t="str">
        <f>IF(COUNT(images!A:A,B31)&gt;0,"X","N")</f>
        <v>N</v>
      </c>
      <c r="E31" t="s">
        <v>11</v>
      </c>
    </row>
    <row r="32" spans="1:5" x14ac:dyDescent="0.25">
      <c r="A32" t="s">
        <v>25</v>
      </c>
      <c r="B32" t="str">
        <f t="shared" si="0"/>
        <v>larz.png</v>
      </c>
      <c r="D32" t="s">
        <v>36</v>
      </c>
      <c r="E32" t="s">
        <v>11</v>
      </c>
    </row>
    <row r="33" spans="1:5" x14ac:dyDescent="0.25">
      <c r="A33" t="s">
        <v>10</v>
      </c>
      <c r="B33" t="str">
        <f t="shared" si="0"/>
        <v>maria-ulrike-von-liebwitz-of-ambosstein.png</v>
      </c>
      <c r="E33" t="s">
        <v>11</v>
      </c>
    </row>
    <row r="34" spans="1:5" x14ac:dyDescent="0.25">
      <c r="A34" t="s">
        <v>30</v>
      </c>
      <c r="B34" t="str">
        <f t="shared" si="0"/>
        <v>mercinellin-seedling-thorncobble-xiii.png</v>
      </c>
      <c r="E34" t="s">
        <v>11</v>
      </c>
    </row>
    <row r="35" spans="1:5" x14ac:dyDescent="0.25">
      <c r="A35" t="s">
        <v>24</v>
      </c>
      <c r="B35" t="str">
        <f t="shared" si="0"/>
        <v>mho.png</v>
      </c>
      <c r="D35" t="s">
        <v>36</v>
      </c>
      <c r="E35" t="s">
        <v>11</v>
      </c>
    </row>
    <row r="36" spans="1:5" x14ac:dyDescent="0.25">
      <c r="A36" t="s">
        <v>59</v>
      </c>
      <c r="B36" t="str">
        <f t="shared" si="0"/>
        <v>ol'bess.png</v>
      </c>
      <c r="D36" t="s">
        <v>60</v>
      </c>
      <c r="E36" t="s">
        <v>11</v>
      </c>
    </row>
    <row r="37" spans="1:5" x14ac:dyDescent="0.25">
      <c r="A37" t="s">
        <v>18</v>
      </c>
      <c r="B37" t="str">
        <f t="shared" si="0"/>
        <v>priest-of-morr-1.png</v>
      </c>
      <c r="D37" t="s">
        <v>19</v>
      </c>
      <c r="E37" t="s">
        <v>11</v>
      </c>
    </row>
    <row r="38" spans="1:5" x14ac:dyDescent="0.25">
      <c r="A38" t="s">
        <v>20</v>
      </c>
      <c r="B38" t="str">
        <f t="shared" si="0"/>
        <v>priest-of-morr-2.png</v>
      </c>
      <c r="D38" t="s">
        <v>21</v>
      </c>
      <c r="E38" t="s">
        <v>11</v>
      </c>
    </row>
    <row r="39" spans="1:5" x14ac:dyDescent="0.25">
      <c r="A39" t="s">
        <v>22</v>
      </c>
      <c r="B39" t="str">
        <f t="shared" si="0"/>
        <v>priest-of-morr-3.png</v>
      </c>
      <c r="D39" t="s">
        <v>23</v>
      </c>
      <c r="E39" t="s">
        <v>11</v>
      </c>
    </row>
    <row r="40" spans="1:5" x14ac:dyDescent="0.25">
      <c r="A40" t="s">
        <v>14</v>
      </c>
      <c r="B40" t="str">
        <f t="shared" si="0"/>
        <v>thomas-prahmhandler.png</v>
      </c>
      <c r="E40" t="s">
        <v>11</v>
      </c>
    </row>
    <row r="41" spans="1:5" x14ac:dyDescent="0.25">
      <c r="A41" t="s">
        <v>17</v>
      </c>
      <c r="B41" t="str">
        <f t="shared" si="0"/>
        <v>ursula-kopfsgeld.png</v>
      </c>
      <c r="E41" t="s">
        <v>11</v>
      </c>
    </row>
    <row r="42" spans="1:5" x14ac:dyDescent="0.25">
      <c r="A42" t="s">
        <v>34</v>
      </c>
      <c r="B42" t="str">
        <f t="shared" si="0"/>
        <v>wolfgang.png</v>
      </c>
      <c r="D42" t="s">
        <v>35</v>
      </c>
      <c r="E42" t="s">
        <v>11</v>
      </c>
    </row>
    <row r="43" spans="1:5" x14ac:dyDescent="0.25">
      <c r="B43" t="str">
        <f t="shared" ref="B43:B74" si="1">IF(ISBLANK(A43),"",LOWER(SUBSTITUTE(SUBSTITUTE(A43, " ", "-"), """", "")) &amp; ".png")</f>
        <v/>
      </c>
    </row>
    <row r="44" spans="1:5" x14ac:dyDescent="0.25">
      <c r="B44" t="str">
        <f t="shared" si="1"/>
        <v/>
      </c>
    </row>
    <row r="45" spans="1:5" x14ac:dyDescent="0.25">
      <c r="B45" t="str">
        <f t="shared" si="1"/>
        <v/>
      </c>
    </row>
    <row r="46" spans="1:5" x14ac:dyDescent="0.25">
      <c r="B46" t="str">
        <f t="shared" si="1"/>
        <v/>
      </c>
    </row>
    <row r="47" spans="1:5" x14ac:dyDescent="0.25">
      <c r="B47" t="str">
        <f t="shared" si="1"/>
        <v/>
      </c>
    </row>
    <row r="48" spans="1:5" x14ac:dyDescent="0.25">
      <c r="B48" t="str">
        <f t="shared" si="1"/>
        <v/>
      </c>
    </row>
    <row r="49" spans="2:2" x14ac:dyDescent="0.25">
      <c r="B49" t="str">
        <f t="shared" si="1"/>
        <v/>
      </c>
    </row>
    <row r="50" spans="2:2" x14ac:dyDescent="0.25">
      <c r="B50" t="str">
        <f t="shared" si="1"/>
        <v/>
      </c>
    </row>
    <row r="51" spans="2:2" x14ac:dyDescent="0.25">
      <c r="B51" t="str">
        <f t="shared" si="1"/>
        <v/>
      </c>
    </row>
    <row r="52" spans="2:2" x14ac:dyDescent="0.25">
      <c r="B52" t="str">
        <f t="shared" si="1"/>
        <v/>
      </c>
    </row>
    <row r="53" spans="2:2" x14ac:dyDescent="0.25">
      <c r="B53" t="str">
        <f t="shared" si="1"/>
        <v/>
      </c>
    </row>
    <row r="54" spans="2:2" x14ac:dyDescent="0.25">
      <c r="B54" t="str">
        <f t="shared" si="1"/>
        <v/>
      </c>
    </row>
    <row r="55" spans="2:2" x14ac:dyDescent="0.25">
      <c r="B55" t="str">
        <f t="shared" si="1"/>
        <v/>
      </c>
    </row>
    <row r="56" spans="2:2" x14ac:dyDescent="0.25">
      <c r="B56" t="str">
        <f t="shared" si="1"/>
        <v/>
      </c>
    </row>
    <row r="57" spans="2:2" x14ac:dyDescent="0.25">
      <c r="B57" t="str">
        <f t="shared" si="1"/>
        <v/>
      </c>
    </row>
    <row r="58" spans="2:2" x14ac:dyDescent="0.25">
      <c r="B58" t="str">
        <f t="shared" si="1"/>
        <v/>
      </c>
    </row>
    <row r="59" spans="2:2" x14ac:dyDescent="0.25">
      <c r="B59" t="str">
        <f t="shared" si="1"/>
        <v/>
      </c>
    </row>
    <row r="60" spans="2:2" x14ac:dyDescent="0.25">
      <c r="B60" t="str">
        <f t="shared" si="1"/>
        <v/>
      </c>
    </row>
    <row r="61" spans="2:2" x14ac:dyDescent="0.25">
      <c r="B61" t="str">
        <f t="shared" si="1"/>
        <v/>
      </c>
    </row>
    <row r="62" spans="2:2" x14ac:dyDescent="0.25">
      <c r="B62" t="str">
        <f t="shared" si="1"/>
        <v/>
      </c>
    </row>
    <row r="63" spans="2:2" x14ac:dyDescent="0.25">
      <c r="B63" t="str">
        <f t="shared" si="1"/>
        <v/>
      </c>
    </row>
    <row r="64" spans="2:2" x14ac:dyDescent="0.25">
      <c r="B64" t="str">
        <f t="shared" si="1"/>
        <v/>
      </c>
    </row>
    <row r="65" spans="2:2" x14ac:dyDescent="0.25">
      <c r="B65" t="str">
        <f t="shared" si="1"/>
        <v/>
      </c>
    </row>
    <row r="66" spans="2:2" x14ac:dyDescent="0.25">
      <c r="B66" t="str">
        <f t="shared" si="1"/>
        <v/>
      </c>
    </row>
    <row r="67" spans="2:2" x14ac:dyDescent="0.25">
      <c r="B67" t="str">
        <f t="shared" si="1"/>
        <v/>
      </c>
    </row>
    <row r="68" spans="2:2" x14ac:dyDescent="0.25">
      <c r="B68" t="str">
        <f t="shared" si="1"/>
        <v/>
      </c>
    </row>
    <row r="69" spans="2:2" x14ac:dyDescent="0.25">
      <c r="B69" t="str">
        <f t="shared" si="1"/>
        <v/>
      </c>
    </row>
    <row r="70" spans="2:2" x14ac:dyDescent="0.25">
      <c r="B70" t="str">
        <f t="shared" si="1"/>
        <v/>
      </c>
    </row>
    <row r="71" spans="2:2" x14ac:dyDescent="0.25">
      <c r="B71" t="str">
        <f t="shared" si="1"/>
        <v/>
      </c>
    </row>
    <row r="72" spans="2:2" x14ac:dyDescent="0.25">
      <c r="B72" t="str">
        <f t="shared" si="1"/>
        <v/>
      </c>
    </row>
    <row r="73" spans="2:2" x14ac:dyDescent="0.25">
      <c r="B73" t="str">
        <f t="shared" si="1"/>
        <v/>
      </c>
    </row>
    <row r="74" spans="2:2" x14ac:dyDescent="0.25">
      <c r="B74" t="str">
        <f t="shared" si="1"/>
        <v/>
      </c>
    </row>
    <row r="75" spans="2:2" x14ac:dyDescent="0.25">
      <c r="B75" t="str">
        <f t="shared" ref="B75:B106" si="2">IF(ISBLANK(A75),"",LOWER(SUBSTITUTE(SUBSTITUTE(A75, " ", "-"), """", "")) &amp; ".png")</f>
        <v/>
      </c>
    </row>
    <row r="76" spans="2:2" x14ac:dyDescent="0.25">
      <c r="B76" t="str">
        <f t="shared" si="2"/>
        <v/>
      </c>
    </row>
    <row r="77" spans="2:2" x14ac:dyDescent="0.25">
      <c r="B77" t="str">
        <f t="shared" si="2"/>
        <v/>
      </c>
    </row>
    <row r="78" spans="2:2" x14ac:dyDescent="0.25">
      <c r="B78" t="str">
        <f t="shared" si="2"/>
        <v/>
      </c>
    </row>
    <row r="79" spans="2:2" x14ac:dyDescent="0.25">
      <c r="B79" t="str">
        <f t="shared" si="2"/>
        <v/>
      </c>
    </row>
    <row r="80" spans="2:2" x14ac:dyDescent="0.25">
      <c r="B80" t="str">
        <f t="shared" si="2"/>
        <v/>
      </c>
    </row>
    <row r="81" spans="2:2" x14ac:dyDescent="0.25">
      <c r="B81" t="str">
        <f t="shared" si="2"/>
        <v/>
      </c>
    </row>
    <row r="82" spans="2:2" x14ac:dyDescent="0.25">
      <c r="B82" t="str">
        <f t="shared" si="2"/>
        <v/>
      </c>
    </row>
    <row r="83" spans="2:2" x14ac:dyDescent="0.25">
      <c r="B83" t="str">
        <f t="shared" si="2"/>
        <v/>
      </c>
    </row>
    <row r="84" spans="2:2" x14ac:dyDescent="0.25">
      <c r="B84" t="str">
        <f t="shared" si="2"/>
        <v/>
      </c>
    </row>
    <row r="85" spans="2:2" x14ac:dyDescent="0.25">
      <c r="B85" t="str">
        <f t="shared" si="2"/>
        <v/>
      </c>
    </row>
    <row r="86" spans="2:2" x14ac:dyDescent="0.25">
      <c r="B86" t="str">
        <f t="shared" si="2"/>
        <v/>
      </c>
    </row>
    <row r="87" spans="2:2" x14ac:dyDescent="0.25">
      <c r="B87" t="str">
        <f t="shared" si="2"/>
        <v/>
      </c>
    </row>
    <row r="88" spans="2:2" x14ac:dyDescent="0.25">
      <c r="B88" t="str">
        <f t="shared" si="2"/>
        <v/>
      </c>
    </row>
    <row r="89" spans="2:2" x14ac:dyDescent="0.25">
      <c r="B89" t="str">
        <f t="shared" si="2"/>
        <v/>
      </c>
    </row>
    <row r="90" spans="2:2" x14ac:dyDescent="0.25">
      <c r="B90" t="str">
        <f t="shared" si="2"/>
        <v/>
      </c>
    </row>
    <row r="91" spans="2:2" x14ac:dyDescent="0.25">
      <c r="B91" t="str">
        <f t="shared" si="2"/>
        <v/>
      </c>
    </row>
    <row r="92" spans="2:2" x14ac:dyDescent="0.25">
      <c r="B92" t="str">
        <f t="shared" si="2"/>
        <v/>
      </c>
    </row>
    <row r="93" spans="2:2" x14ac:dyDescent="0.25">
      <c r="B93" t="str">
        <f t="shared" si="2"/>
        <v/>
      </c>
    </row>
    <row r="94" spans="2:2" x14ac:dyDescent="0.25">
      <c r="B94" t="str">
        <f t="shared" si="2"/>
        <v/>
      </c>
    </row>
    <row r="95" spans="2:2" x14ac:dyDescent="0.25">
      <c r="B95" t="str">
        <f t="shared" si="2"/>
        <v/>
      </c>
    </row>
    <row r="96" spans="2:2" x14ac:dyDescent="0.25">
      <c r="B96" t="str">
        <f t="shared" si="2"/>
        <v/>
      </c>
    </row>
    <row r="97" spans="2:2" x14ac:dyDescent="0.25">
      <c r="B97" t="str">
        <f t="shared" si="2"/>
        <v/>
      </c>
    </row>
    <row r="98" spans="2:2" x14ac:dyDescent="0.25">
      <c r="B98" t="str">
        <f t="shared" si="2"/>
        <v/>
      </c>
    </row>
    <row r="99" spans="2:2" x14ac:dyDescent="0.25">
      <c r="B99" t="str">
        <f t="shared" si="2"/>
        <v/>
      </c>
    </row>
  </sheetData>
  <sortState xmlns:xlrd2="http://schemas.microsoft.com/office/spreadsheetml/2017/richdata2" ref="A2:E100">
    <sortCondition ref="E2:E10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E926F-B145-4368-A71D-D713ADC7720E}">
  <dimension ref="A1:F58"/>
  <sheetViews>
    <sheetView workbookViewId="0">
      <selection activeCell="A4" sqref="A4"/>
    </sheetView>
  </sheetViews>
  <sheetFormatPr defaultRowHeight="15.75" x14ac:dyDescent="0.25"/>
  <cols>
    <col min="1" max="1" width="74.5" bestFit="1" customWidth="1"/>
    <col min="2" max="2" width="10.75" bestFit="1" customWidth="1"/>
    <col min="3" max="5" width="15.125" bestFit="1" customWidth="1"/>
    <col min="6" max="6" width="45.125" bestFit="1" customWidth="1"/>
  </cols>
  <sheetData>
    <row r="1" spans="1:6" x14ac:dyDescent="0.25">
      <c r="A1" t="s">
        <v>71</v>
      </c>
      <c r="B1" t="s">
        <v>72</v>
      </c>
      <c r="C1" t="s">
        <v>73</v>
      </c>
      <c r="D1" t="s">
        <v>74</v>
      </c>
      <c r="E1" t="s">
        <v>75</v>
      </c>
      <c r="F1" t="s">
        <v>76</v>
      </c>
    </row>
    <row r="2" spans="1:6" x14ac:dyDescent="0.25">
      <c r="A2" s="1" t="s">
        <v>77</v>
      </c>
      <c r="B2" s="1" t="s">
        <v>78</v>
      </c>
      <c r="C2" s="2">
        <v>45536.571651921295</v>
      </c>
      <c r="D2" s="2">
        <v>45534.80192380787</v>
      </c>
      <c r="E2" s="2">
        <v>45534.715624999997</v>
      </c>
      <c r="F2" s="1" t="s">
        <v>79</v>
      </c>
    </row>
    <row r="3" spans="1:6" x14ac:dyDescent="0.25">
      <c r="A3" s="1" t="s">
        <v>80</v>
      </c>
      <c r="B3" s="1" t="s">
        <v>78</v>
      </c>
      <c r="C3" s="2">
        <v>45536.571113969905</v>
      </c>
      <c r="D3" s="2">
        <v>45534.801926145832</v>
      </c>
      <c r="E3" s="2">
        <v>45534.715648148151</v>
      </c>
      <c r="F3" s="1" t="s">
        <v>79</v>
      </c>
    </row>
    <row r="4" spans="1:6" x14ac:dyDescent="0.25">
      <c r="A4" s="1" t="s">
        <v>81</v>
      </c>
      <c r="B4" s="1" t="s">
        <v>78</v>
      </c>
      <c r="C4" s="2">
        <v>45536.573790138886</v>
      </c>
      <c r="D4" s="2">
        <v>45536.564033599534</v>
      </c>
      <c r="E4" s="2">
        <v>45536.374722222223</v>
      </c>
      <c r="F4" s="1" t="s">
        <v>79</v>
      </c>
    </row>
    <row r="5" spans="1:6" x14ac:dyDescent="0.25">
      <c r="A5" s="1" t="s">
        <v>82</v>
      </c>
      <c r="B5" s="1" t="s">
        <v>78</v>
      </c>
      <c r="C5" s="2">
        <v>45536.571113993057</v>
      </c>
      <c r="D5" s="2">
        <v>45534.801929849535</v>
      </c>
      <c r="E5" s="2">
        <v>45534.715671296297</v>
      </c>
      <c r="F5" s="1" t="s">
        <v>79</v>
      </c>
    </row>
    <row r="6" spans="1:6" x14ac:dyDescent="0.25">
      <c r="A6" s="1" t="s">
        <v>83</v>
      </c>
      <c r="B6" s="1" t="s">
        <v>78</v>
      </c>
      <c r="C6" s="2">
        <v>45536.571114108796</v>
      </c>
      <c r="D6" s="2">
        <v>45534.801932604169</v>
      </c>
      <c r="E6" s="2">
        <v>45534.715671296297</v>
      </c>
      <c r="F6" s="1" t="s">
        <v>79</v>
      </c>
    </row>
    <row r="7" spans="1:6" x14ac:dyDescent="0.25">
      <c r="A7" s="1" t="s">
        <v>84</v>
      </c>
      <c r="B7" s="1" t="s">
        <v>78</v>
      </c>
      <c r="C7" s="2">
        <v>45536.571114247687</v>
      </c>
      <c r="D7" s="2">
        <v>45534.801933622686</v>
      </c>
      <c r="E7" s="2">
        <v>45534.715671296297</v>
      </c>
      <c r="F7" s="1" t="s">
        <v>79</v>
      </c>
    </row>
    <row r="8" spans="1:6" x14ac:dyDescent="0.25">
      <c r="A8" s="1" t="s">
        <v>85</v>
      </c>
      <c r="B8" s="1" t="s">
        <v>78</v>
      </c>
      <c r="C8" s="2">
        <v>45536.564175486114</v>
      </c>
      <c r="D8" s="2">
        <v>45536.56403065972</v>
      </c>
      <c r="E8" s="2">
        <v>45536.374745370369</v>
      </c>
      <c r="F8" s="1" t="s">
        <v>79</v>
      </c>
    </row>
    <row r="9" spans="1:6" x14ac:dyDescent="0.25">
      <c r="A9" s="1" t="s">
        <v>86</v>
      </c>
      <c r="B9" s="1" t="s">
        <v>78</v>
      </c>
      <c r="C9" s="2">
        <v>45536.564163368057</v>
      </c>
      <c r="D9" s="2">
        <v>45536.564031851849</v>
      </c>
      <c r="E9" s="2">
        <v>45536.374745370369</v>
      </c>
      <c r="F9" s="1" t="s">
        <v>79</v>
      </c>
    </row>
    <row r="10" spans="1:6" x14ac:dyDescent="0.25">
      <c r="A10" s="1" t="s">
        <v>87</v>
      </c>
      <c r="B10" s="1" t="s">
        <v>78</v>
      </c>
      <c r="C10" s="2">
        <v>45536.564176481479</v>
      </c>
      <c r="D10" s="2">
        <v>45536.564032488423</v>
      </c>
      <c r="E10" s="2">
        <v>45536.374745370369</v>
      </c>
      <c r="F10" s="1" t="s">
        <v>79</v>
      </c>
    </row>
    <row r="11" spans="1:6" x14ac:dyDescent="0.25">
      <c r="A11" s="1" t="s">
        <v>88</v>
      </c>
      <c r="B11" s="1" t="s">
        <v>78</v>
      </c>
      <c r="C11" s="2">
        <v>45536.564171203703</v>
      </c>
      <c r="D11" s="2">
        <v>45536.564033043978</v>
      </c>
      <c r="E11" s="2">
        <v>45536.374699074076</v>
      </c>
      <c r="F11" s="1" t="s">
        <v>79</v>
      </c>
    </row>
    <row r="12" spans="1:6" x14ac:dyDescent="0.25">
      <c r="A12" s="1" t="s">
        <v>89</v>
      </c>
      <c r="B12" s="1" t="s">
        <v>78</v>
      </c>
      <c r="C12" s="2">
        <v>45536.564179814814</v>
      </c>
      <c r="D12" s="2">
        <v>45536.564034097224</v>
      </c>
      <c r="E12" s="2">
        <v>45536.374722222223</v>
      </c>
      <c r="F12" s="1" t="s">
        <v>79</v>
      </c>
    </row>
    <row r="13" spans="1:6" x14ac:dyDescent="0.25">
      <c r="A13" s="1" t="s">
        <v>90</v>
      </c>
      <c r="B13" s="1" t="s">
        <v>78</v>
      </c>
      <c r="C13" s="2">
        <v>45536.564178078705</v>
      </c>
      <c r="D13" s="2">
        <v>45536.564037129632</v>
      </c>
      <c r="E13" s="2">
        <v>45536.374745370369</v>
      </c>
      <c r="F13" s="1" t="s">
        <v>79</v>
      </c>
    </row>
    <row r="14" spans="1:6" x14ac:dyDescent="0.25">
      <c r="A14" s="1" t="s">
        <v>91</v>
      </c>
      <c r="B14" s="1" t="s">
        <v>78</v>
      </c>
      <c r="C14" s="2">
        <v>45536.564167731478</v>
      </c>
      <c r="D14" s="2">
        <v>45536.564037719909</v>
      </c>
      <c r="E14" s="2">
        <v>45536.374745370369</v>
      </c>
      <c r="F14" s="1" t="s">
        <v>79</v>
      </c>
    </row>
    <row r="15" spans="1:6" x14ac:dyDescent="0.25">
      <c r="A15" s="1" t="s">
        <v>92</v>
      </c>
      <c r="B15" s="1" t="s">
        <v>78</v>
      </c>
      <c r="C15" s="2">
        <v>45536.564167557874</v>
      </c>
      <c r="D15" s="2">
        <v>45536.564038391203</v>
      </c>
      <c r="E15" s="2">
        <v>45536.374745370369</v>
      </c>
      <c r="F15" s="1" t="s">
        <v>79</v>
      </c>
    </row>
    <row r="16" spans="1:6" x14ac:dyDescent="0.25">
      <c r="A16" s="1" t="s">
        <v>93</v>
      </c>
      <c r="B16" s="1" t="s">
        <v>78</v>
      </c>
      <c r="C16" s="2">
        <v>45536.564163136572</v>
      </c>
      <c r="D16" s="2">
        <v>45536.564039016201</v>
      </c>
      <c r="E16" s="2">
        <v>45536.374745370369</v>
      </c>
      <c r="F16" s="1" t="s">
        <v>79</v>
      </c>
    </row>
    <row r="17" spans="1:6" x14ac:dyDescent="0.25">
      <c r="A17" s="1" t="s">
        <v>94</v>
      </c>
      <c r="B17" s="1" t="s">
        <v>78</v>
      </c>
      <c r="C17" s="2">
        <v>45536.564172303239</v>
      </c>
      <c r="D17" s="2">
        <v>45536.564029606481</v>
      </c>
      <c r="E17" s="2">
        <v>45536.374745370369</v>
      </c>
      <c r="F17" s="1" t="s">
        <v>79</v>
      </c>
    </row>
    <row r="18" spans="1:6" x14ac:dyDescent="0.25">
      <c r="A18" s="1" t="s">
        <v>95</v>
      </c>
      <c r="B18" s="1" t="s">
        <v>78</v>
      </c>
      <c r="C18" s="2">
        <v>45536.571651944447</v>
      </c>
      <c r="D18" s="2">
        <v>45535.327564722225</v>
      </c>
      <c r="E18" s="2">
        <v>45535.243842592594</v>
      </c>
      <c r="F18" s="1" t="s">
        <v>79</v>
      </c>
    </row>
    <row r="19" spans="1:6" x14ac:dyDescent="0.25">
      <c r="A19" s="1" t="s">
        <v>96</v>
      </c>
      <c r="B19" s="1" t="s">
        <v>78</v>
      </c>
      <c r="C19" s="2">
        <v>45536.573873263886</v>
      </c>
      <c r="D19" s="2">
        <v>45536.564035254632</v>
      </c>
      <c r="E19" s="2">
        <v>45536.374722222223</v>
      </c>
      <c r="F19" s="1" t="s">
        <v>79</v>
      </c>
    </row>
    <row r="20" spans="1:6" x14ac:dyDescent="0.25">
      <c r="A20" s="1" t="s">
        <v>97</v>
      </c>
      <c r="B20" s="1" t="s">
        <v>78</v>
      </c>
      <c r="C20" s="2">
        <v>45536.571651956016</v>
      </c>
      <c r="D20" s="2">
        <v>45534.456864120373</v>
      </c>
      <c r="E20" s="2">
        <v>45534.45789672454</v>
      </c>
      <c r="F20" s="1" t="s">
        <v>79</v>
      </c>
    </row>
    <row r="21" spans="1:6" x14ac:dyDescent="0.25">
      <c r="A21" s="1" t="s">
        <v>98</v>
      </c>
      <c r="B21" s="1" t="s">
        <v>78</v>
      </c>
      <c r="C21" s="2">
        <v>45536.571375162035</v>
      </c>
      <c r="D21" s="2">
        <v>45534.735394768519</v>
      </c>
      <c r="E21" s="2">
        <v>45534.727601145831</v>
      </c>
      <c r="F21" s="1" t="s">
        <v>79</v>
      </c>
    </row>
    <row r="22" spans="1:6" x14ac:dyDescent="0.25">
      <c r="A22" s="1" t="s">
        <v>99</v>
      </c>
      <c r="B22" s="1" t="s">
        <v>78</v>
      </c>
      <c r="C22" s="2">
        <v>45536.566681956021</v>
      </c>
      <c r="D22" s="2">
        <v>45535.32756672454</v>
      </c>
      <c r="E22" s="2">
        <v>45535.243842592594</v>
      </c>
      <c r="F22" s="1" t="s">
        <v>79</v>
      </c>
    </row>
    <row r="23" spans="1:6" x14ac:dyDescent="0.25">
      <c r="A23" s="1" t="s">
        <v>100</v>
      </c>
      <c r="B23" s="1" t="s">
        <v>78</v>
      </c>
      <c r="C23" s="2">
        <v>45536.566650833331</v>
      </c>
      <c r="D23" s="2">
        <v>45534.801939421297</v>
      </c>
      <c r="E23" s="2">
        <v>45534.715671296297</v>
      </c>
      <c r="F23" s="1" t="s">
        <v>79</v>
      </c>
    </row>
    <row r="24" spans="1:6" x14ac:dyDescent="0.25">
      <c r="A24" s="1" t="s">
        <v>101</v>
      </c>
      <c r="B24" s="1" t="s">
        <v>78</v>
      </c>
      <c r="C24" s="2">
        <v>45536.566672685185</v>
      </c>
      <c r="D24" s="2">
        <v>45534.456863518521</v>
      </c>
      <c r="E24" s="2">
        <v>45534.457896064814</v>
      </c>
      <c r="F24" s="1" t="s">
        <v>79</v>
      </c>
    </row>
    <row r="25" spans="1:6" x14ac:dyDescent="0.25">
      <c r="A25" s="1" t="s">
        <v>102</v>
      </c>
      <c r="B25" s="1" t="s">
        <v>78</v>
      </c>
      <c r="C25" s="2">
        <v>45536.571652013889</v>
      </c>
      <c r="D25" s="2">
        <v>45534.456863518521</v>
      </c>
      <c r="E25" s="2">
        <v>45534.373148148145</v>
      </c>
      <c r="F25" s="1" t="s">
        <v>79</v>
      </c>
    </row>
    <row r="26" spans="1:6" x14ac:dyDescent="0.25">
      <c r="A26" s="1" t="s">
        <v>103</v>
      </c>
      <c r="B26" s="1" t="s">
        <v>78</v>
      </c>
      <c r="C26" s="2">
        <v>45536.571652025465</v>
      </c>
      <c r="D26" s="2">
        <v>45534.801938518518</v>
      </c>
      <c r="E26" s="2">
        <v>45534.715671296297</v>
      </c>
      <c r="F26" s="1" t="s">
        <v>79</v>
      </c>
    </row>
    <row r="27" spans="1:6" x14ac:dyDescent="0.25">
      <c r="A27" s="1" t="s">
        <v>104</v>
      </c>
      <c r="B27" s="1" t="s">
        <v>78</v>
      </c>
      <c r="C27" s="2">
        <v>45536.572055104167</v>
      </c>
      <c r="D27" s="2">
        <v>45534.735393935189</v>
      </c>
      <c r="E27" s="2">
        <v>45534.651944444442</v>
      </c>
      <c r="F27" s="1" t="s">
        <v>79</v>
      </c>
    </row>
    <row r="28" spans="1:6" x14ac:dyDescent="0.25">
      <c r="A28" s="1" t="s">
        <v>105</v>
      </c>
      <c r="B28" s="1" t="s">
        <v>78</v>
      </c>
      <c r="C28" s="2">
        <v>45536.571103807873</v>
      </c>
      <c r="D28" s="2">
        <v>45534.801928275461</v>
      </c>
      <c r="E28" s="2">
        <v>45534.715648148151</v>
      </c>
      <c r="F28" s="1" t="s">
        <v>79</v>
      </c>
    </row>
    <row r="29" spans="1:6" x14ac:dyDescent="0.25">
      <c r="A29" s="1" t="s">
        <v>106</v>
      </c>
      <c r="B29" s="1" t="s">
        <v>78</v>
      </c>
      <c r="C29" s="2">
        <v>45536.572110196757</v>
      </c>
      <c r="D29" s="2">
        <v>45536.564031261572</v>
      </c>
      <c r="E29" s="2">
        <v>45536.374745370369</v>
      </c>
      <c r="F29" s="1" t="s">
        <v>79</v>
      </c>
    </row>
    <row r="30" spans="1:6" x14ac:dyDescent="0.25">
      <c r="A30" s="1" t="s">
        <v>135</v>
      </c>
      <c r="B30" s="1" t="s">
        <v>78</v>
      </c>
      <c r="C30" s="2">
        <v>45536.581921944446</v>
      </c>
      <c r="D30" s="2">
        <v>45536.564036504627</v>
      </c>
      <c r="E30" s="2">
        <v>45536.374722222223</v>
      </c>
      <c r="F30" s="1" t="s">
        <v>79</v>
      </c>
    </row>
    <row r="31" spans="1:6" x14ac:dyDescent="0.25">
      <c r="A31" s="1" t="s">
        <v>107</v>
      </c>
      <c r="B31" s="1" t="s">
        <v>78</v>
      </c>
      <c r="C31" s="2">
        <v>45536.571103726848</v>
      </c>
      <c r="D31" s="2">
        <v>45534.80194114583</v>
      </c>
      <c r="E31" s="2">
        <v>45534.715671296297</v>
      </c>
      <c r="F31" s="1" t="s">
        <v>79</v>
      </c>
    </row>
    <row r="32" spans="1:6" x14ac:dyDescent="0.25">
      <c r="A32" s="1" t="s">
        <v>108</v>
      </c>
      <c r="B32" s="1" t="s">
        <v>78</v>
      </c>
      <c r="C32" s="2">
        <v>45536.571103796297</v>
      </c>
      <c r="D32" s="2">
        <v>45534.80194193287</v>
      </c>
      <c r="E32" s="2">
        <v>45534.715671296297</v>
      </c>
      <c r="F32" s="1" t="s">
        <v>79</v>
      </c>
    </row>
    <row r="33" spans="1:6" x14ac:dyDescent="0.25">
      <c r="A33" s="1" t="s">
        <v>109</v>
      </c>
      <c r="B33" s="1" t="s">
        <v>78</v>
      </c>
      <c r="C33" s="2">
        <v>45536.571104027775</v>
      </c>
      <c r="D33" s="2">
        <v>45534.801942847225</v>
      </c>
      <c r="E33" s="2">
        <v>45534.715671296297</v>
      </c>
      <c r="F33" s="1" t="s">
        <v>79</v>
      </c>
    </row>
    <row r="34" spans="1:6" x14ac:dyDescent="0.25">
      <c r="A34" s="1" t="s">
        <v>110</v>
      </c>
      <c r="B34" s="1" t="s">
        <v>78</v>
      </c>
      <c r="C34" s="2">
        <v>45536.571104178242</v>
      </c>
      <c r="D34" s="2">
        <v>45534.801926805558</v>
      </c>
      <c r="E34" s="2">
        <v>45534.715648148151</v>
      </c>
      <c r="F34" s="1" t="s">
        <v>79</v>
      </c>
    </row>
    <row r="35" spans="1:6" x14ac:dyDescent="0.25">
      <c r="A35" s="1" t="s">
        <v>111</v>
      </c>
      <c r="B35" s="1" t="s">
        <v>78</v>
      </c>
      <c r="C35" s="2">
        <v>45536.571104189818</v>
      </c>
      <c r="D35" s="2">
        <v>45534.456862754632</v>
      </c>
      <c r="E35" s="2">
        <v>45534.457895763888</v>
      </c>
      <c r="F35" s="1" t="s">
        <v>79</v>
      </c>
    </row>
    <row r="36" spans="1:6" x14ac:dyDescent="0.25">
      <c r="A36" s="1" t="s">
        <v>112</v>
      </c>
      <c r="B36" s="1" t="s">
        <v>78</v>
      </c>
      <c r="C36" s="2">
        <v>45536.567006666664</v>
      </c>
      <c r="D36" s="2">
        <v>45534.801925324071</v>
      </c>
      <c r="E36" s="2">
        <v>45534.715624999997</v>
      </c>
      <c r="F36" s="1" t="s">
        <v>79</v>
      </c>
    </row>
    <row r="37" spans="1:6" x14ac:dyDescent="0.25">
      <c r="A37" s="1" t="s">
        <v>113</v>
      </c>
      <c r="B37" s="1" t="s">
        <v>78</v>
      </c>
      <c r="C37" s="2">
        <v>45536.571104965275</v>
      </c>
      <c r="D37" s="2">
        <v>45535.327561122685</v>
      </c>
      <c r="E37" s="2">
        <v>45535.243842592594</v>
      </c>
      <c r="F37" s="1" t="s">
        <v>79</v>
      </c>
    </row>
    <row r="38" spans="1:6" x14ac:dyDescent="0.25">
      <c r="A38" s="1" t="s">
        <v>114</v>
      </c>
      <c r="B38" s="1" t="s">
        <v>78</v>
      </c>
      <c r="C38" s="2">
        <v>45536.571776863428</v>
      </c>
      <c r="D38" s="2">
        <v>45534.801923101855</v>
      </c>
      <c r="E38" s="2">
        <v>45534.715624999997</v>
      </c>
      <c r="F38" s="1" t="s">
        <v>79</v>
      </c>
    </row>
    <row r="39" spans="1:6" x14ac:dyDescent="0.25">
      <c r="A39" s="1" t="s">
        <v>115</v>
      </c>
      <c r="B39" s="1" t="s">
        <v>78</v>
      </c>
      <c r="C39" s="2">
        <v>45536.571104722221</v>
      </c>
      <c r="D39" s="2">
        <v>45534.801937546297</v>
      </c>
      <c r="E39" s="2">
        <v>45534.715671296297</v>
      </c>
      <c r="F39" s="1" t="s">
        <v>79</v>
      </c>
    </row>
    <row r="40" spans="1:6" x14ac:dyDescent="0.25">
      <c r="A40" s="1" t="s">
        <v>116</v>
      </c>
      <c r="B40" s="1" t="s">
        <v>78</v>
      </c>
      <c r="C40" s="2">
        <v>45536.571105150462</v>
      </c>
      <c r="D40" s="2">
        <v>45535.327565717591</v>
      </c>
      <c r="E40" s="2">
        <v>45535.243842592594</v>
      </c>
      <c r="F40" s="1" t="s">
        <v>79</v>
      </c>
    </row>
    <row r="41" spans="1:6" x14ac:dyDescent="0.25">
      <c r="A41" s="1" t="s">
        <v>117</v>
      </c>
      <c r="B41" s="1" t="s">
        <v>78</v>
      </c>
      <c r="C41" s="2">
        <v>45536.573520555554</v>
      </c>
      <c r="D41" s="2">
        <v>45534.801930624999</v>
      </c>
      <c r="E41" s="2">
        <v>45534.715671296297</v>
      </c>
      <c r="F41" s="1" t="s">
        <v>79</v>
      </c>
    </row>
    <row r="42" spans="1:6" x14ac:dyDescent="0.25">
      <c r="A42" s="1" t="s">
        <v>118</v>
      </c>
      <c r="B42" s="1" t="s">
        <v>78</v>
      </c>
      <c r="C42" s="2">
        <v>45536.573520324077</v>
      </c>
      <c r="D42" s="2">
        <v>45534.456864745371</v>
      </c>
      <c r="E42" s="2">
        <v>45534.45789528935</v>
      </c>
      <c r="F42" s="1" t="s">
        <v>79</v>
      </c>
    </row>
    <row r="43" spans="1:6" x14ac:dyDescent="0.25">
      <c r="A43" s="1" t="s">
        <v>119</v>
      </c>
      <c r="B43" s="1" t="s">
        <v>78</v>
      </c>
      <c r="C43" s="2">
        <v>45536.572170069441</v>
      </c>
      <c r="D43" s="2">
        <v>45536.56403011574</v>
      </c>
      <c r="E43" s="2">
        <v>45536.374745370369</v>
      </c>
      <c r="F43" s="1" t="s">
        <v>79</v>
      </c>
    </row>
    <row r="44" spans="1:6" x14ac:dyDescent="0.25">
      <c r="A44" s="1" t="s">
        <v>120</v>
      </c>
      <c r="B44" s="1" t="s">
        <v>78</v>
      </c>
      <c r="C44" s="2">
        <v>45536.57352046296</v>
      </c>
      <c r="D44" s="2">
        <v>45534.801927569446</v>
      </c>
      <c r="E44" s="2">
        <v>45534.715648148151</v>
      </c>
      <c r="F44" s="1" t="s">
        <v>79</v>
      </c>
    </row>
    <row r="45" spans="1:6" x14ac:dyDescent="0.25">
      <c r="A45" s="1" t="s">
        <v>121</v>
      </c>
      <c r="B45" s="1" t="s">
        <v>78</v>
      </c>
      <c r="C45" s="2">
        <v>45536.571315578702</v>
      </c>
      <c r="D45" s="2">
        <v>45534.80193159722</v>
      </c>
      <c r="E45" s="2">
        <v>45534.715648148151</v>
      </c>
      <c r="F45" s="1" t="s">
        <v>79</v>
      </c>
    </row>
    <row r="46" spans="1:6" x14ac:dyDescent="0.25">
      <c r="A46" s="1" t="s">
        <v>122</v>
      </c>
      <c r="B46" s="1" t="s">
        <v>78</v>
      </c>
      <c r="C46" s="2">
        <v>45536.571089884259</v>
      </c>
      <c r="D46" s="2">
        <v>45534.80192460648</v>
      </c>
      <c r="E46" s="2">
        <v>45534.715624999997</v>
      </c>
      <c r="F46" s="1" t="s">
        <v>79</v>
      </c>
    </row>
    <row r="47" spans="1:6" x14ac:dyDescent="0.25">
      <c r="A47" s="1" t="s">
        <v>123</v>
      </c>
      <c r="B47" s="1" t="s">
        <v>78</v>
      </c>
      <c r="C47" s="2">
        <v>45536.571265879633</v>
      </c>
      <c r="D47" s="2">
        <v>45534.801934583331</v>
      </c>
      <c r="E47" s="2">
        <v>45534.715671296297</v>
      </c>
      <c r="F47" s="1" t="s">
        <v>79</v>
      </c>
    </row>
    <row r="48" spans="1:6" x14ac:dyDescent="0.25">
      <c r="A48" s="1" t="s">
        <v>124</v>
      </c>
      <c r="B48" s="1" t="s">
        <v>78</v>
      </c>
      <c r="C48" s="2">
        <v>45536.573766956019</v>
      </c>
      <c r="D48" s="2">
        <v>45534.801935543983</v>
      </c>
      <c r="E48" s="2">
        <v>45534.715671296297</v>
      </c>
      <c r="F48" s="1" t="s">
        <v>79</v>
      </c>
    </row>
    <row r="49" spans="1:6" x14ac:dyDescent="0.25">
      <c r="A49" s="1" t="s">
        <v>125</v>
      </c>
      <c r="B49" s="1" t="s">
        <v>78</v>
      </c>
      <c r="C49" s="2">
        <v>45536.573767222224</v>
      </c>
      <c r="D49" s="2">
        <v>45534.801936481483</v>
      </c>
      <c r="E49" s="2">
        <v>45534.715671296297</v>
      </c>
      <c r="F49" s="1" t="s">
        <v>79</v>
      </c>
    </row>
    <row r="50" spans="1:6" x14ac:dyDescent="0.25">
      <c r="A50" s="1" t="s">
        <v>126</v>
      </c>
      <c r="B50" s="1" t="s">
        <v>78</v>
      </c>
      <c r="C50" s="2">
        <v>45536.573519652775</v>
      </c>
      <c r="D50" s="2">
        <v>45536.564034606483</v>
      </c>
      <c r="E50" s="2">
        <v>45536.374722222223</v>
      </c>
      <c r="F50" s="1" t="s">
        <v>79</v>
      </c>
    </row>
    <row r="51" spans="1:6" x14ac:dyDescent="0.25">
      <c r="A51" s="1" t="s">
        <v>127</v>
      </c>
      <c r="B51" s="1" t="s">
        <v>78</v>
      </c>
      <c r="C51" s="2">
        <v>45536.573767407404</v>
      </c>
      <c r="D51" s="2">
        <v>45535.327563379629</v>
      </c>
      <c r="E51" s="2">
        <v>45535.243842592594</v>
      </c>
      <c r="F51" s="1" t="s">
        <v>79</v>
      </c>
    </row>
    <row r="52" spans="1:6" x14ac:dyDescent="0.25">
      <c r="A52" s="1" t="s">
        <v>128</v>
      </c>
      <c r="B52" s="1" t="s">
        <v>78</v>
      </c>
      <c r="C52" s="2">
        <v>45536.574322395834</v>
      </c>
      <c r="D52" s="2">
        <v>45534.801943726852</v>
      </c>
      <c r="E52" s="2">
        <v>45534.715671296297</v>
      </c>
      <c r="F52" s="1" t="s">
        <v>79</v>
      </c>
    </row>
    <row r="53" spans="1:6" x14ac:dyDescent="0.25">
      <c r="A53" s="1" t="s">
        <v>129</v>
      </c>
      <c r="B53" s="1" t="s">
        <v>78</v>
      </c>
      <c r="C53" s="2">
        <v>45536.574322395834</v>
      </c>
      <c r="D53" s="2">
        <v>45534.801944525461</v>
      </c>
      <c r="E53" s="2">
        <v>45534.715671296297</v>
      </c>
      <c r="F53" s="1" t="s">
        <v>79</v>
      </c>
    </row>
    <row r="54" spans="1:6" x14ac:dyDescent="0.25">
      <c r="A54" s="1" t="s">
        <v>130</v>
      </c>
      <c r="B54" s="1" t="s">
        <v>78</v>
      </c>
      <c r="C54" s="2">
        <v>45536.57115423611</v>
      </c>
      <c r="D54" s="2">
        <v>45534.80192244213</v>
      </c>
      <c r="E54" s="2">
        <v>45534.715671296297</v>
      </c>
      <c r="F54" s="1" t="s">
        <v>79</v>
      </c>
    </row>
    <row r="55" spans="1:6" x14ac:dyDescent="0.25">
      <c r="A55" s="1" t="s">
        <v>131</v>
      </c>
      <c r="B55" s="1" t="s">
        <v>78</v>
      </c>
      <c r="C55" s="2">
        <v>45536.571405162038</v>
      </c>
      <c r="D55" s="2">
        <v>45535.327562164355</v>
      </c>
      <c r="E55" s="2">
        <v>45535.243842592594</v>
      </c>
      <c r="F55" s="1" t="s">
        <v>79</v>
      </c>
    </row>
    <row r="56" spans="1:6" x14ac:dyDescent="0.25">
      <c r="A56" s="1" t="s">
        <v>132</v>
      </c>
      <c r="B56" s="1" t="s">
        <v>78</v>
      </c>
      <c r="C56" s="2">
        <v>45536.574322141205</v>
      </c>
      <c r="D56" s="2">
        <v>45534.801928946756</v>
      </c>
      <c r="E56" s="2">
        <v>45534.715648148151</v>
      </c>
      <c r="F56" s="1" t="s">
        <v>79</v>
      </c>
    </row>
    <row r="57" spans="1:6" x14ac:dyDescent="0.25">
      <c r="A57" s="1" t="s">
        <v>133</v>
      </c>
      <c r="B57" s="1" t="s">
        <v>78</v>
      </c>
      <c r="C57" s="2">
        <v>45536.574322337961</v>
      </c>
      <c r="D57" s="2">
        <v>45534.80194020833</v>
      </c>
      <c r="E57" s="2">
        <v>45534.715671296297</v>
      </c>
      <c r="F57" s="1" t="s">
        <v>79</v>
      </c>
    </row>
    <row r="58" spans="1:6" x14ac:dyDescent="0.25">
      <c r="A58" s="1" t="s">
        <v>134</v>
      </c>
      <c r="B58" s="1" t="s">
        <v>78</v>
      </c>
      <c r="C58" s="2">
        <v>45536.573992013888</v>
      </c>
      <c r="D58" s="2">
        <v>45536.564035844909</v>
      </c>
      <c r="E58" s="2">
        <v>45536.374722222223</v>
      </c>
      <c r="F58" s="1" t="s">
        <v>79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7BDF6-CD09-4217-9CDB-DDD7C007E42A}"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686F9D-BF94-4C43-B209-E9FA8706B0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cards_data</vt:lpstr>
      <vt:lpstr>images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Danielsson</dc:creator>
  <cp:lastModifiedBy>Andreas Danielsson</cp:lastModifiedBy>
  <dcterms:created xsi:type="dcterms:W3CDTF">2024-08-31T07:04:03Z</dcterms:created>
  <dcterms:modified xsi:type="dcterms:W3CDTF">2024-09-02T06:03:10Z</dcterms:modified>
</cp:coreProperties>
</file>